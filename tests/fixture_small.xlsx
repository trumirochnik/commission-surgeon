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AR_06.30" sheetId="1" r:id="rId1"/>
    <sheet name="Dashboard" sheetId="2" r:id="rId2"/>
    <sheet name="New Sales report" sheetId="3" r:id="rId3"/>
    <sheet name="Sales report Raw" sheetId="4" r:id="rId4"/>
  </sheets>
  <calcPr calcId="1"/>
</workbook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H20"/>
  <sheetData>
    <row r="6">
      <c r="A6" t="inlineStr">
        <is>
          <t>Client</t>
        </is>
      </c>
      <c r="X6" t="inlineStr">
        <is>
          <t>Company</t>
        </is>
      </c>
      <c r="Z6" t="inlineStr">
        <is>
          <t>Difference</t>
        </is>
      </c>
    </row>
    <row r="7">
      <c r="A7" t="inlineStr">
        <is>
          <t>875001 Fixture Store</t>
        </is>
      </c>
      <c r="L7">
        <v>100</v>
      </c>
      <c r="V7">
        <v>150</v>
      </c>
      <c r="Y7">
        <f>IF(V7&gt;0,"Y","N")</f>
      </c>
      <c r="Z7">
        <f>V7-L7</f>
      </c>
      <c r="AA7">
        <f>L7*0.05</f>
      </c>
    </row>
    <row r="8">
      <c r="A8" t="inlineStr">
        <is>
          <t>875002 Other Store</t>
        </is>
      </c>
      <c r="L8">
        <v>10</v>
      </c>
      <c r="V8">
        <v>30</v>
      </c>
      <c r="Y8">
        <f>IF(V8&gt;0,"Y","N")</f>
      </c>
      <c r="Z8">
        <f>V8-L8</f>
      </c>
      <c r="AA8">
        <f>L8*0.05</f>
      </c>
    </row>
  </sheetData>
</worksheet>
</file>

<file path=xl/worksheets/sheet2.xml><?xml version="1.0" encoding="utf-8"?>
<worksheet xmlns="http://schemas.openxmlformats.org/spreadsheetml/2006/main" xmlns:r="http://schemas.openxmlformats.org/officeDocument/2006/relationships">
  <dimension ref="A1:AH20"/>
  <sheetData>
    <row r="2">
      <c r="B2" t="inlineStr">
        <is>
          <t>Current period</t>
        </is>
      </c>
      <c r="C2" t="inlineStr">
        <is>
          <t>June/26</t>
        </is>
      </c>
    </row>
    <row r="3">
      <c r="B3" t="inlineStr">
        <is>
          <t>Prior period</t>
        </is>
      </c>
      <c r="C3" t="inlineStr">
        <is>
          <t>May/26</t>
        </is>
      </c>
    </row>
  </sheetData>
</worksheet>
</file>

<file path=xl/worksheets/sheet3.xml><?xml version="1.0" encoding="utf-8"?>
<worksheet xmlns="http://schemas.openxmlformats.org/spreadsheetml/2006/main" xmlns:r="http://schemas.openxmlformats.org/officeDocument/2006/relationships">
  <dimension ref="A1:AH20"/>
  <sheetData>
    <row r="6">
      <c r="A6" t="inlineStr">
        <is>
          <t>Client</t>
        </is>
      </c>
      <c r="Y6" t="inlineStr">
        <is>
          <t>Rate</t>
        </is>
      </c>
    </row>
    <row r="7">
      <c r="A7" t="inlineStr">
        <is>
          <t>875001 Fixture Store</t>
        </is>
      </c>
      <c r="L7">
        <v>42</v>
      </c>
      <c r="Y7">
        <v>1.5</v>
      </c>
      <c r="Z7">
        <f>L7*2</f>
      </c>
      <c r="AA7">
        <f>Z7*0.05</f>
      </c>
      <c r="AB7">
        <f>AA7+1</f>
      </c>
    </row>
  </sheetData>
</worksheet>
</file>

<file path=xl/worksheets/sheet4.xml><?xml version="1.0" encoding="utf-8"?>
<worksheet xmlns="http://schemas.openxmlformats.org/spreadsheetml/2006/main" xmlns:r="http://schemas.openxmlformats.org/officeDocument/2006/relationships">
  <dimension ref="A1:AH20"/>
  <sheetData>
    <row r="3">
      <c r="A3" t="inlineStr">
        <is>
          <t>Client</t>
        </is>
      </c>
    </row>
    <row r="4">
      <c r="A4" t="inlineStr">
        <is>
          <t>875001 Fixture Store</t>
        </is>
      </c>
      <c r="L4">
        <v>7</v>
      </c>
      <c r="Z4">
        <f>L4*3</f>
      </c>
      <c r="AA4">
        <f>Z4-1</f>
      </c>
    </row>
  </sheetData>
</worksheet>
</file>